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miri\StudioProjects\KalaYar\data_model\"/>
    </mc:Choice>
  </mc:AlternateContent>
  <xr:revisionPtr revIDLastSave="0" documentId="13_ncr:1_{036DA224-A333-4BE4-A86F-2137C82C868A}" xr6:coauthVersionLast="47" xr6:coauthVersionMax="47" xr10:uidLastSave="{00000000-0000-0000-0000-000000000000}"/>
  <bookViews>
    <workbookView xWindow="-108" yWindow="-108" windowWidth="23256" windowHeight="12456" xr2:uid="{7FFF78A6-2EEA-485F-AAA6-0EBF03DC5E4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</calcChain>
</file>

<file path=xl/sharedStrings.xml><?xml version="1.0" encoding="utf-8"?>
<sst xmlns="http://schemas.openxmlformats.org/spreadsheetml/2006/main" count="150" uniqueCount="93">
  <si>
    <t>s</t>
  </si>
  <si>
    <t>User</t>
  </si>
  <si>
    <t>is_activated</t>
  </si>
  <si>
    <t>android_id</t>
  </si>
  <si>
    <t>Boolean</t>
  </si>
  <si>
    <t>String (64)</t>
  </si>
  <si>
    <t>Store</t>
  </si>
  <si>
    <t>String (256)</t>
  </si>
  <si>
    <t>Product</t>
  </si>
  <si>
    <t>String (32)</t>
  </si>
  <si>
    <t>Transaction</t>
  </si>
  <si>
    <t>Long</t>
  </si>
  <si>
    <t>String</t>
  </si>
  <si>
    <t>Models</t>
  </si>
  <si>
    <t>Description</t>
  </si>
  <si>
    <t>News</t>
  </si>
  <si>
    <t>فاکتور گیری از تراکنش ها</t>
  </si>
  <si>
    <t>لوگوی پیامرسان ها ، تلفن تماس ، ایمیل اضافه گردد</t>
  </si>
  <si>
    <t>کتابخونه ساپورت تاریخ ایرانی اضافه گردد و create_time ها با این کتابخونه و Room سازگار باشند</t>
  </si>
  <si>
    <t>اگر تراکنش حذف شد ؟ فقط تراکنش و ایتم حذف بشه</t>
  </si>
  <si>
    <t>اگر یک محصول حذف شد ؟ محصول و موجودی ها حذف میشوند</t>
  </si>
  <si>
    <t>اگر نام محصول تغییر کرد هیچ اتفاقی نمیوفته</t>
  </si>
  <si>
    <t>اگرواحد محصول تغییر کرد هیچ اتفاقی نمیوفته</t>
  </si>
  <si>
    <t>اجناس قرضی ، چه جنسی؟ چقدر؟ به کی ؟ چه تاریخی ؟ قرض دادیم یا گرفتیم ؟ زمان اخرین تغییرات ؟</t>
  </si>
  <si>
    <t>بخش سفارشات هفتگی ، چه اجناسی کل هفته نیازه - مقداری که داریم = مقداری که کم داریم</t>
  </si>
  <si>
    <t>قابلیت سرچ و فیلتر و دسته بندی برای بخش های مختلف</t>
  </si>
  <si>
    <t>طراحی کتابخانه BottomSheet در صورت  نیاز</t>
  </si>
  <si>
    <t>نمایش اطلاعات مختلف با کلیک روی ویوی دیتا مدل ها</t>
  </si>
  <si>
    <t>برای قرض گرفتن یا قرض دادن فقط یه دکمه نشون بده که نوعش رو تنظیم کنه و بقیه اطلاعات توی توضیحات یا تیتر</t>
  </si>
  <si>
    <t>برای هر ترکانش یه دکمه بزار که لیست ایتم های تراکنش رو به صورت شناور نشون بده</t>
  </si>
  <si>
    <t>موجودی انبار میتونه توی حصولات هم نشون داده بشه !</t>
  </si>
  <si>
    <t>قیمت محصول اضافه گردد ، دارایی های انبار به صورت مالی و مادی میتونه محسابه بشه</t>
  </si>
  <si>
    <t>دارایی انبار به صورت تعداد هر جنس ، قیمت هر جنس ، قیمت کل اجناس محاسبه بشه</t>
  </si>
  <si>
    <t>وقتی میخواست یه ایتم به تراکنش اضافه بشه ، چک کن که تکراری نباشه ! و اینکه تعداد محصول رو برگردون تا</t>
  </si>
  <si>
    <t>توی برنامه نشون بدی و کاربر بیشتر از اون مقدار حق کاهش نداشته باشه</t>
  </si>
  <si>
    <t>قرض ها از انبار کم بشوند !</t>
  </si>
  <si>
    <t>چک کن اگر کاربر android_id ایش فرض داشت حق ورودی نداشته باشه !</t>
  </si>
  <si>
    <t>ردیف</t>
  </si>
  <si>
    <t>توضیحات</t>
  </si>
  <si>
    <t>تاریخ</t>
  </si>
  <si>
    <t>برنج</t>
  </si>
  <si>
    <t>مانده (کیلوگرم)</t>
  </si>
  <si>
    <t>ورودی (کیلوگرم)</t>
  </si>
  <si>
    <t>ساعت</t>
  </si>
  <si>
    <t>خروجی (کیلوگرم)</t>
  </si>
  <si>
    <t>transaction_create_time</t>
  </si>
  <si>
    <t>transaction_title</t>
  </si>
  <si>
    <t>transaction_id</t>
  </si>
  <si>
    <t>transaction_description</t>
  </si>
  <si>
    <t>product_unit</t>
  </si>
  <si>
    <t>product_name</t>
  </si>
  <si>
    <t>product_id</t>
  </si>
  <si>
    <t>store_name</t>
  </si>
  <si>
    <t>store_address</t>
  </si>
  <si>
    <t>store_website</t>
  </si>
  <si>
    <t>store_phone_number</t>
  </si>
  <si>
    <t>Default</t>
  </si>
  <si>
    <t>فروشگاه تعاونی برداران درویشی</t>
  </si>
  <si>
    <t>1405/02/21</t>
  </si>
  <si>
    <t>نام مشتری: آقای فلانی</t>
  </si>
  <si>
    <t>تلفن:</t>
  </si>
  <si>
    <t>اشتراک:</t>
  </si>
  <si>
    <t>آدرس:</t>
  </si>
  <si>
    <t>پیک:</t>
  </si>
  <si>
    <t>نام کالا</t>
  </si>
  <si>
    <t>تعداد</t>
  </si>
  <si>
    <t>قیمت روی کالا</t>
  </si>
  <si>
    <t>قیمت فروشگاه</t>
  </si>
  <si>
    <t>جمع</t>
  </si>
  <si>
    <t>سوسیس کوکتل میرا</t>
  </si>
  <si>
    <t>مایع ظرفشویی خاکستر 500 گرمی</t>
  </si>
  <si>
    <t>صندوق دار: مدیر</t>
  </si>
  <si>
    <t>جمع اقلام: 2</t>
  </si>
  <si>
    <t>سود شما از این خرید:</t>
  </si>
  <si>
    <t>جمع کل قبل از تخفیف:</t>
  </si>
  <si>
    <t>جمع مبلغ قابل پرداخت :</t>
  </si>
  <si>
    <t>ریال</t>
  </si>
  <si>
    <t>آدرس: ذوالفقاری 30 متری نبش ذوالفقار 28</t>
  </si>
  <si>
    <t>تلفن تماس</t>
  </si>
  <si>
    <t>09166331403  -  09013818100</t>
  </si>
  <si>
    <t>نرم افزار کالایار</t>
  </si>
  <si>
    <t>TransactionItem</t>
  </si>
  <si>
    <t>item_id</t>
  </si>
  <si>
    <t>product_price</t>
  </si>
  <si>
    <t>Type</t>
  </si>
  <si>
    <t>Name</t>
  </si>
  <si>
    <t>-</t>
  </si>
  <si>
    <t>Byte</t>
  </si>
  <si>
    <t>last_value</t>
  </si>
  <si>
    <t>change_value</t>
  </si>
  <si>
    <t>new_value</t>
  </si>
  <si>
    <t>product_count</t>
  </si>
  <si>
    <t>transaction_type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</si>
</sst>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60429]dddd\,\ d\ mmmm\ yyyy;@"/>
    <numFmt numFmtId="165" formatCode="[$-1000409]h:mm\ AM/PM;@"/>
  </numFmts>
  <fonts count="9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6"/>
      <name val="Aptos Narrow"/>
      <scheme val="minor"/>
    </font>
    <font>
      <sz val="11"/>
      <name val="Aptos Narrow"/>
      <family val="2"/>
      <scheme val="minor"/>
    </font>
    <font>
      <sz val="11"/>
      <color theme="1"/>
      <name val="2  Titr"/>
      <charset val="178"/>
    </font>
    <font>
      <sz val="9"/>
      <color theme="1"/>
      <name val="2  Titr"/>
      <charset val="178"/>
    </font>
    <font>
      <sz val="12"/>
      <color theme="1"/>
      <name val="2  Titr"/>
      <charset val="178"/>
    </font>
    <font>
      <sz val="9"/>
      <color theme="0"/>
      <name val="2  Titr"/>
      <charset val="178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4" borderId="5" xfId="0" applyFill="1" applyBorder="1"/>
    <xf numFmtId="0" fontId="0" fillId="0" borderId="0" xfId="0" applyAlignment="1">
      <alignment vertical="center"/>
    </xf>
    <xf numFmtId="0" fontId="0" fillId="4" borderId="1" xfId="0" applyFill="1" applyBorder="1" applyAlignment="1">
      <alignment vertical="center"/>
    </xf>
    <xf numFmtId="0" fontId="0" fillId="8" borderId="0" xfId="0" applyFill="1" applyAlignment="1">
      <alignment vertical="center"/>
    </xf>
    <xf numFmtId="0" fontId="0" fillId="8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/>
    </xf>
    <xf numFmtId="0" fontId="0" fillId="4" borderId="2" xfId="0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20" fontId="6" fillId="0" borderId="3" xfId="0" applyNumberFormat="1" applyFont="1" applyBorder="1" applyAlignment="1">
      <alignment horizontal="center" vertical="center"/>
    </xf>
    <xf numFmtId="20" fontId="6" fillId="0" borderId="5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6" fillId="0" borderId="10" xfId="0" applyFont="1" applyBorder="1" applyAlignment="1">
      <alignment horizontal="right" vertical="center"/>
    </xf>
    <xf numFmtId="0" fontId="6" fillId="0" borderId="1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883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5874-283B-4259-A5CF-B8BA62BB56E7}">
  <sheetPr codeName="Sheet1"/>
  <dimension ref="A1:FO46"/>
  <sheetViews>
    <sheetView tabSelected="1" topLeftCell="A33" zoomScale="130" zoomScaleNormal="130" workbookViewId="0">
      <selection activeCell="D41" sqref="D41"/>
    </sheetView>
  </sheetViews>
  <sheetFormatPr defaultRowHeight="13.8"/>
  <cols>
    <col min="1" max="1" width="20.59765625" bestFit="1" customWidth="1"/>
    <col min="2" max="2" width="10.59765625" bestFit="1" customWidth="1"/>
    <col min="4" max="4" width="40.8984375" bestFit="1" customWidth="1"/>
    <col min="5" max="5" width="73" bestFit="1" customWidth="1"/>
    <col min="8" max="8" width="13.8984375" bestFit="1" customWidth="1"/>
    <col min="9" max="9" width="10.296875" bestFit="1" customWidth="1"/>
  </cols>
  <sheetData>
    <row r="1" spans="1:171" ht="21">
      <c r="A1" s="32" t="s">
        <v>13</v>
      </c>
      <c r="B1" s="32"/>
      <c r="C1" s="32"/>
      <c r="D1" s="2" t="s">
        <v>14</v>
      </c>
      <c r="E1" s="19" t="s">
        <v>15</v>
      </c>
    </row>
    <row r="2" spans="1:171">
      <c r="A2" s="23"/>
      <c r="B2" s="23"/>
      <c r="C2" s="23"/>
      <c r="D2" s="23"/>
      <c r="E2" s="24" t="s">
        <v>16</v>
      </c>
    </row>
    <row r="3" spans="1:171">
      <c r="A3" s="33" t="s">
        <v>1</v>
      </c>
      <c r="B3" s="33"/>
      <c r="C3" s="33"/>
      <c r="D3" s="23"/>
      <c r="E3" s="24" t="s">
        <v>17</v>
      </c>
    </row>
    <row r="4" spans="1:171">
      <c r="A4" s="25" t="s">
        <v>85</v>
      </c>
      <c r="B4" s="25" t="s">
        <v>84</v>
      </c>
      <c r="C4" s="26" t="s">
        <v>56</v>
      </c>
      <c r="D4" s="23"/>
      <c r="E4" s="24" t="s">
        <v>18</v>
      </c>
    </row>
    <row r="5" spans="1:171">
      <c r="A5" s="27" t="s">
        <v>3</v>
      </c>
      <c r="B5" s="27" t="s">
        <v>12</v>
      </c>
      <c r="C5" s="5" t="s">
        <v>86</v>
      </c>
      <c r="D5" s="23"/>
      <c r="E5" s="24" t="s">
        <v>24</v>
      </c>
    </row>
    <row r="6" spans="1:171">
      <c r="A6" s="27" t="s">
        <v>2</v>
      </c>
      <c r="B6" s="27" t="s">
        <v>4</v>
      </c>
      <c r="C6" s="27" t="b">
        <v>0</v>
      </c>
      <c r="D6" s="23"/>
      <c r="E6" s="24" t="s">
        <v>23</v>
      </c>
    </row>
    <row r="7" spans="1:171">
      <c r="A7" s="27"/>
      <c r="B7" s="27"/>
      <c r="C7" s="27"/>
      <c r="D7" s="23"/>
      <c r="E7" s="24" t="s">
        <v>25</v>
      </c>
    </row>
    <row r="8" spans="1:171">
      <c r="A8" s="23"/>
      <c r="B8" s="23"/>
      <c r="C8" s="23"/>
      <c r="D8" s="23"/>
      <c r="E8" s="24" t="s">
        <v>26</v>
      </c>
    </row>
    <row r="9" spans="1:171">
      <c r="A9" s="33" t="s">
        <v>6</v>
      </c>
      <c r="B9" s="33"/>
      <c r="C9" s="33"/>
      <c r="D9" s="28"/>
      <c r="E9" s="24" t="s">
        <v>27</v>
      </c>
    </row>
    <row r="10" spans="1:171">
      <c r="A10" s="26" t="s">
        <v>85</v>
      </c>
      <c r="B10" s="26" t="s">
        <v>84</v>
      </c>
      <c r="C10" s="26" t="s">
        <v>56</v>
      </c>
      <c r="D10" s="23"/>
      <c r="E10" s="24" t="s">
        <v>28</v>
      </c>
    </row>
    <row r="11" spans="1:171">
      <c r="A11" s="27" t="s">
        <v>52</v>
      </c>
      <c r="B11" s="27" t="s">
        <v>5</v>
      </c>
      <c r="C11" s="5" t="s">
        <v>86</v>
      </c>
      <c r="D11" s="23"/>
      <c r="E11" s="24" t="s">
        <v>29</v>
      </c>
    </row>
    <row r="12" spans="1:171">
      <c r="A12" s="27" t="s">
        <v>53</v>
      </c>
      <c r="B12" s="27" t="s">
        <v>7</v>
      </c>
      <c r="C12" s="5" t="s">
        <v>86</v>
      </c>
      <c r="D12" s="23"/>
      <c r="E12" s="24" t="s">
        <v>31</v>
      </c>
    </row>
    <row r="13" spans="1:171">
      <c r="A13" s="27" t="s">
        <v>55</v>
      </c>
      <c r="B13" s="27" t="s">
        <v>5</v>
      </c>
      <c r="C13" s="5" t="s">
        <v>86</v>
      </c>
      <c r="D13" s="23"/>
      <c r="E13" s="29" t="s">
        <v>32</v>
      </c>
    </row>
    <row r="14" spans="1:171">
      <c r="A14" s="27" t="s">
        <v>54</v>
      </c>
      <c r="B14" s="27" t="s">
        <v>5</v>
      </c>
      <c r="C14" s="5" t="s">
        <v>86</v>
      </c>
      <c r="D14" s="23"/>
      <c r="E14" s="24" t="s">
        <v>30</v>
      </c>
    </row>
    <row r="15" spans="1:171">
      <c r="A15" s="23"/>
      <c r="B15" s="23"/>
      <c r="C15" s="23"/>
      <c r="D15" s="23"/>
      <c r="E15" s="29" t="s">
        <v>33</v>
      </c>
    </row>
    <row r="16" spans="1:171">
      <c r="A16" s="23"/>
      <c r="B16" s="23"/>
      <c r="C16" s="23"/>
      <c r="D16" s="23"/>
      <c r="E16" s="29" t="s">
        <v>34</v>
      </c>
      <c r="FO16" t="s">
        <v>0</v>
      </c>
    </row>
    <row r="17" spans="1:5">
      <c r="A17" s="33" t="s">
        <v>8</v>
      </c>
      <c r="B17" s="33"/>
      <c r="C17" s="33"/>
      <c r="D17" s="30" t="s">
        <v>20</v>
      </c>
      <c r="E17" s="24" t="s">
        <v>35</v>
      </c>
    </row>
    <row r="18" spans="1:5">
      <c r="A18" s="26" t="s">
        <v>85</v>
      </c>
      <c r="B18" s="26" t="s">
        <v>84</v>
      </c>
      <c r="C18" s="26" t="s">
        <v>56</v>
      </c>
      <c r="D18" s="30" t="s">
        <v>21</v>
      </c>
      <c r="E18" s="24" t="s">
        <v>36</v>
      </c>
    </row>
    <row r="19" spans="1:5">
      <c r="A19" s="27" t="s">
        <v>51</v>
      </c>
      <c r="B19" s="27" t="s">
        <v>11</v>
      </c>
      <c r="C19" s="5" t="s">
        <v>86</v>
      </c>
      <c r="D19" s="30" t="s">
        <v>22</v>
      </c>
      <c r="E19" s="23"/>
    </row>
    <row r="20" spans="1:5">
      <c r="A20" s="27" t="s">
        <v>50</v>
      </c>
      <c r="B20" s="27" t="s">
        <v>5</v>
      </c>
      <c r="C20" s="5" t="s">
        <v>86</v>
      </c>
      <c r="D20" s="23"/>
      <c r="E20" s="23"/>
    </row>
    <row r="21" spans="1:5">
      <c r="A21" s="27" t="s">
        <v>49</v>
      </c>
      <c r="B21" s="27" t="s">
        <v>9</v>
      </c>
      <c r="C21" s="5" t="s">
        <v>86</v>
      </c>
      <c r="D21" s="23"/>
      <c r="E21" s="23"/>
    </row>
    <row r="22" spans="1:5">
      <c r="A22" s="27" t="s">
        <v>83</v>
      </c>
      <c r="B22" s="27" t="s">
        <v>11</v>
      </c>
      <c r="C22" s="5" t="s">
        <v>86</v>
      </c>
      <c r="D22" s="23"/>
      <c r="E22" s="23"/>
    </row>
    <row r="23" spans="1:5">
      <c r="A23" s="27" t="s">
        <v>91</v>
      </c>
      <c r="B23" s="27" t="s">
        <v>11</v>
      </c>
      <c r="C23" s="5">
        <v>0</v>
      </c>
      <c r="D23" s="23"/>
      <c r="E23" s="23"/>
    </row>
    <row r="25" spans="1:5">
      <c r="A25" s="31" t="s">
        <v>10</v>
      </c>
      <c r="B25" s="31"/>
      <c r="C25" s="31"/>
      <c r="D25" s="22" t="s">
        <v>19</v>
      </c>
    </row>
    <row r="26" spans="1:5">
      <c r="A26" s="21" t="s">
        <v>85</v>
      </c>
      <c r="B26" s="21" t="s">
        <v>84</v>
      </c>
      <c r="C26" s="21" t="s">
        <v>56</v>
      </c>
    </row>
    <row r="27" spans="1:5">
      <c r="A27" s="1" t="s">
        <v>47</v>
      </c>
      <c r="B27" s="1" t="s">
        <v>11</v>
      </c>
      <c r="C27" s="5" t="s">
        <v>86</v>
      </c>
    </row>
    <row r="28" spans="1:5">
      <c r="A28" s="1" t="s">
        <v>46</v>
      </c>
      <c r="B28" s="1" t="s">
        <v>9</v>
      </c>
      <c r="C28" s="5" t="s">
        <v>86</v>
      </c>
    </row>
    <row r="29" spans="1:5">
      <c r="A29" s="1" t="s">
        <v>45</v>
      </c>
      <c r="B29" s="1" t="s">
        <v>11</v>
      </c>
      <c r="C29" s="5" t="s">
        <v>86</v>
      </c>
    </row>
    <row r="30" spans="1:5">
      <c r="A30" s="1" t="s">
        <v>48</v>
      </c>
      <c r="B30" s="1" t="s">
        <v>7</v>
      </c>
      <c r="C30" s="5" t="s">
        <v>86</v>
      </c>
    </row>
    <row r="31" spans="1:5">
      <c r="A31" s="1" t="s">
        <v>92</v>
      </c>
      <c r="B31" s="1" t="s">
        <v>87</v>
      </c>
      <c r="C31" s="5" t="s">
        <v>86</v>
      </c>
    </row>
    <row r="32" spans="1:5">
      <c r="A32" s="1"/>
      <c r="B32" s="1"/>
      <c r="C32" s="5"/>
    </row>
    <row r="33" spans="1:3">
      <c r="A33" s="1"/>
      <c r="B33" s="1"/>
      <c r="C33" s="1"/>
    </row>
    <row r="36" spans="1:3">
      <c r="A36" s="31" t="s">
        <v>81</v>
      </c>
      <c r="B36" s="31"/>
      <c r="C36" s="31"/>
    </row>
    <row r="37" spans="1:3">
      <c r="A37" s="21" t="s">
        <v>85</v>
      </c>
      <c r="B37" s="21" t="s">
        <v>84</v>
      </c>
      <c r="C37" s="21" t="s">
        <v>56</v>
      </c>
    </row>
    <row r="38" spans="1:3">
      <c r="A38" s="1" t="s">
        <v>82</v>
      </c>
      <c r="B38" s="1" t="s">
        <v>11</v>
      </c>
      <c r="C38" s="5" t="s">
        <v>86</v>
      </c>
    </row>
    <row r="39" spans="1:3">
      <c r="A39" s="1" t="s">
        <v>47</v>
      </c>
      <c r="B39" s="1" t="s">
        <v>11</v>
      </c>
      <c r="C39" s="5" t="s">
        <v>86</v>
      </c>
    </row>
    <row r="40" spans="1:3">
      <c r="A40" s="1" t="s">
        <v>51</v>
      </c>
      <c r="B40" s="1" t="s">
        <v>11</v>
      </c>
      <c r="C40" s="5" t="s">
        <v>86</v>
      </c>
    </row>
    <row r="41" spans="1:3">
      <c r="A41" s="27" t="s">
        <v>50</v>
      </c>
      <c r="B41" s="27" t="s">
        <v>5</v>
      </c>
      <c r="C41" s="5" t="s">
        <v>86</v>
      </c>
    </row>
    <row r="42" spans="1:3">
      <c r="A42" s="27" t="s">
        <v>49</v>
      </c>
      <c r="B42" s="27" t="s">
        <v>9</v>
      </c>
      <c r="C42" s="5" t="s">
        <v>86</v>
      </c>
    </row>
    <row r="43" spans="1:3">
      <c r="A43" s="27" t="s">
        <v>83</v>
      </c>
      <c r="B43" s="27" t="s">
        <v>11</v>
      </c>
      <c r="C43" s="5" t="s">
        <v>86</v>
      </c>
    </row>
    <row r="44" spans="1:3">
      <c r="A44" s="1" t="s">
        <v>88</v>
      </c>
      <c r="B44" s="1" t="s">
        <v>11</v>
      </c>
      <c r="C44" s="5" t="s">
        <v>86</v>
      </c>
    </row>
    <row r="45" spans="1:3">
      <c r="A45" s="1" t="s">
        <v>89</v>
      </c>
      <c r="B45" s="1" t="s">
        <v>11</v>
      </c>
      <c r="C45" s="5" t="s">
        <v>86</v>
      </c>
    </row>
    <row r="46" spans="1:3">
      <c r="A46" s="1" t="s">
        <v>90</v>
      </c>
      <c r="B46" s="1" t="s">
        <v>11</v>
      </c>
      <c r="C46" s="5" t="s">
        <v>86</v>
      </c>
    </row>
  </sheetData>
  <mergeCells count="6">
    <mergeCell ref="A36:C36"/>
    <mergeCell ref="A1:C1"/>
    <mergeCell ref="A3:C3"/>
    <mergeCell ref="A9:C9"/>
    <mergeCell ref="A17:C17"/>
    <mergeCell ref="A25:C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6F565-C2C3-4489-98F5-532DC6D85D61}">
  <sheetPr codeName="Sheet2"/>
  <dimension ref="A1:G43"/>
  <sheetViews>
    <sheetView zoomScale="145" zoomScaleNormal="145" workbookViewId="0">
      <selection activeCell="C2" sqref="C2"/>
    </sheetView>
  </sheetViews>
  <sheetFormatPr defaultRowHeight="13.8"/>
  <cols>
    <col min="1" max="1" width="4.19921875" style="3" bestFit="1" customWidth="1"/>
    <col min="2" max="2" width="11.5" style="3" bestFit="1" customWidth="1"/>
    <col min="3" max="3" width="12" style="3" bestFit="1" customWidth="1"/>
    <col min="4" max="4" width="10" style="3" bestFit="1" customWidth="1"/>
    <col min="5" max="5" width="19" style="10" bestFit="1" customWidth="1"/>
    <col min="6" max="6" width="13.19921875" style="14" bestFit="1" customWidth="1"/>
    <col min="7" max="7" width="22.8984375" style="3" customWidth="1"/>
    <col min="8" max="16384" width="8.796875" style="3"/>
  </cols>
  <sheetData>
    <row r="1" spans="1:7">
      <c r="A1" s="34" t="s">
        <v>40</v>
      </c>
      <c r="B1" s="35"/>
      <c r="C1" s="35"/>
      <c r="D1" s="35"/>
      <c r="E1" s="35"/>
      <c r="F1" s="35"/>
      <c r="G1" s="36"/>
    </row>
    <row r="2" spans="1:7">
      <c r="A2" s="4" t="s">
        <v>37</v>
      </c>
      <c r="B2" s="4" t="s">
        <v>42</v>
      </c>
      <c r="C2" s="4" t="s">
        <v>44</v>
      </c>
      <c r="D2" s="4" t="s">
        <v>41</v>
      </c>
      <c r="E2" s="8" t="s">
        <v>39</v>
      </c>
      <c r="F2" s="11" t="s">
        <v>43</v>
      </c>
      <c r="G2" s="4" t="s">
        <v>38</v>
      </c>
    </row>
    <row r="3" spans="1:7">
      <c r="A3" s="5">
        <v>1</v>
      </c>
      <c r="B3" s="5"/>
      <c r="C3" s="5"/>
      <c r="D3" s="5">
        <v>2000</v>
      </c>
      <c r="E3" s="7">
        <v>46153.267048611109</v>
      </c>
      <c r="F3" s="12">
        <v>46153.267048611109</v>
      </c>
      <c r="G3" s="5"/>
    </row>
    <row r="4" spans="1:7">
      <c r="A4" s="6">
        <v>2</v>
      </c>
      <c r="B4" s="6"/>
      <c r="C4" s="6">
        <v>70</v>
      </c>
      <c r="D4" s="6">
        <f t="shared" ref="D4:D10" si="0">D3-C4+B4</f>
        <v>1930</v>
      </c>
      <c r="E4" s="9">
        <v>46153.267071759263</v>
      </c>
      <c r="F4" s="13">
        <v>46153.267071759263</v>
      </c>
      <c r="G4" s="6"/>
    </row>
    <row r="5" spans="1:7">
      <c r="A5" s="5">
        <v>3</v>
      </c>
      <c r="B5" s="5"/>
      <c r="C5" s="5">
        <v>80</v>
      </c>
      <c r="D5" s="5">
        <f t="shared" si="0"/>
        <v>1850</v>
      </c>
      <c r="E5" s="7">
        <v>46153.267094907409</v>
      </c>
      <c r="F5" s="12">
        <v>46153.267094907409</v>
      </c>
      <c r="G5" s="5"/>
    </row>
    <row r="6" spans="1:7">
      <c r="A6" s="6">
        <v>4</v>
      </c>
      <c r="B6" s="6"/>
      <c r="C6" s="6">
        <v>50</v>
      </c>
      <c r="D6" s="6">
        <f t="shared" si="0"/>
        <v>1800</v>
      </c>
      <c r="E6" s="9">
        <v>46153.267824074072</v>
      </c>
      <c r="F6" s="13">
        <v>46153.267824074072</v>
      </c>
      <c r="G6" s="6"/>
    </row>
    <row r="7" spans="1:7">
      <c r="A7" s="5">
        <v>5</v>
      </c>
      <c r="B7" s="5">
        <v>1000</v>
      </c>
      <c r="C7" s="5"/>
      <c r="D7" s="5">
        <f t="shared" si="0"/>
        <v>2800</v>
      </c>
      <c r="E7" s="7">
        <v>46153.267835648148</v>
      </c>
      <c r="F7" s="12">
        <v>46153.267835648148</v>
      </c>
      <c r="G7" s="5"/>
    </row>
    <row r="8" spans="1:7">
      <c r="A8" s="6">
        <v>6</v>
      </c>
      <c r="B8" s="6">
        <v>200</v>
      </c>
      <c r="C8" s="6"/>
      <c r="D8" s="6">
        <f t="shared" si="0"/>
        <v>3000</v>
      </c>
      <c r="E8" s="9">
        <v>46153.267847222225</v>
      </c>
      <c r="F8" s="13">
        <v>46153.267847222225</v>
      </c>
      <c r="G8" s="6"/>
    </row>
    <row r="9" spans="1:7">
      <c r="A9" s="5">
        <v>7</v>
      </c>
      <c r="B9" s="5"/>
      <c r="C9" s="5">
        <v>270</v>
      </c>
      <c r="D9" s="5">
        <f t="shared" si="0"/>
        <v>2730</v>
      </c>
      <c r="E9" s="7">
        <v>46153.267974537041</v>
      </c>
      <c r="F9" s="12">
        <v>46153.267974537041</v>
      </c>
      <c r="G9" s="5"/>
    </row>
    <row r="10" spans="1:7">
      <c r="A10" s="6">
        <v>8</v>
      </c>
      <c r="B10" s="6"/>
      <c r="C10" s="6">
        <v>30</v>
      </c>
      <c r="D10" s="6">
        <f t="shared" si="0"/>
        <v>2700</v>
      </c>
      <c r="E10" s="9">
        <v>46153.26798611111</v>
      </c>
      <c r="F10" s="13">
        <v>46153.26798611111</v>
      </c>
      <c r="G10" s="6"/>
    </row>
    <row r="11" spans="1:7">
      <c r="A11" s="5">
        <v>9</v>
      </c>
      <c r="B11" s="5"/>
      <c r="C11" s="5">
        <v>80</v>
      </c>
      <c r="D11" s="5">
        <f t="shared" ref="D11:D43" si="1">D10-C11+B11</f>
        <v>2620</v>
      </c>
      <c r="E11" s="7">
        <v>46153.268020833333</v>
      </c>
      <c r="F11" s="12">
        <v>46153.268020833333</v>
      </c>
      <c r="G11" s="5"/>
    </row>
    <row r="12" spans="1:7">
      <c r="A12" s="6">
        <v>10</v>
      </c>
      <c r="B12" s="6"/>
      <c r="C12" s="6">
        <v>70</v>
      </c>
      <c r="D12" s="6">
        <f t="shared" si="1"/>
        <v>2550</v>
      </c>
      <c r="E12" s="9">
        <v>46153.268043981479</v>
      </c>
      <c r="F12" s="13">
        <v>46153.268043981479</v>
      </c>
      <c r="G12" s="6"/>
    </row>
    <row r="13" spans="1:7">
      <c r="A13" s="5">
        <v>11</v>
      </c>
      <c r="B13" s="5"/>
      <c r="C13" s="5">
        <v>50</v>
      </c>
      <c r="D13" s="5">
        <f t="shared" si="1"/>
        <v>2500</v>
      </c>
      <c r="E13" s="7">
        <v>46153.268090277779</v>
      </c>
      <c r="F13" s="12">
        <v>46153.268090277779</v>
      </c>
      <c r="G13" s="5"/>
    </row>
    <row r="14" spans="1:7">
      <c r="A14" s="6">
        <v>12</v>
      </c>
      <c r="B14" s="6">
        <v>100</v>
      </c>
      <c r="C14" s="6"/>
      <c r="D14" s="6">
        <f t="shared" si="1"/>
        <v>2600</v>
      </c>
      <c r="E14" s="9">
        <v>46153.268101851849</v>
      </c>
      <c r="F14" s="13">
        <v>46153.268101851849</v>
      </c>
      <c r="G14" s="6"/>
    </row>
    <row r="15" spans="1:7">
      <c r="A15" s="5">
        <v>13</v>
      </c>
      <c r="B15" s="5"/>
      <c r="C15" s="5">
        <v>70</v>
      </c>
      <c r="D15" s="5">
        <f t="shared" si="1"/>
        <v>2530</v>
      </c>
      <c r="E15" s="7">
        <v>46153.268136574072</v>
      </c>
      <c r="F15" s="12">
        <v>46153.268136574072</v>
      </c>
      <c r="G15" s="5"/>
    </row>
    <row r="16" spans="1:7">
      <c r="A16" s="6">
        <v>14</v>
      </c>
      <c r="B16" s="6"/>
      <c r="C16" s="6">
        <v>70</v>
      </c>
      <c r="D16" s="6">
        <f t="shared" si="1"/>
        <v>2460</v>
      </c>
      <c r="E16" s="9">
        <v>46153.268275462964</v>
      </c>
      <c r="F16" s="13">
        <v>46153.268275462964</v>
      </c>
      <c r="G16" s="6"/>
    </row>
    <row r="17" spans="1:7">
      <c r="A17" s="5">
        <v>15</v>
      </c>
      <c r="B17" s="5"/>
      <c r="C17" s="5">
        <v>70</v>
      </c>
      <c r="D17" s="5">
        <f t="shared" si="1"/>
        <v>2390</v>
      </c>
      <c r="E17" s="7">
        <v>46153.268333333333</v>
      </c>
      <c r="F17" s="12">
        <v>46153.268333333333</v>
      </c>
      <c r="G17" s="5"/>
    </row>
    <row r="18" spans="1:7">
      <c r="A18" s="6">
        <v>16</v>
      </c>
      <c r="B18" s="6"/>
      <c r="C18" s="6">
        <v>70</v>
      </c>
      <c r="D18" s="6">
        <f t="shared" si="1"/>
        <v>2320</v>
      </c>
      <c r="E18" s="9">
        <v>46153.268414351849</v>
      </c>
      <c r="F18" s="13">
        <v>46153.268414351849</v>
      </c>
      <c r="G18" s="6"/>
    </row>
    <row r="19" spans="1:7">
      <c r="A19" s="5">
        <v>17</v>
      </c>
      <c r="B19" s="5"/>
      <c r="C19" s="5">
        <v>70</v>
      </c>
      <c r="D19" s="5">
        <f t="shared" si="1"/>
        <v>2250</v>
      </c>
      <c r="E19" s="7">
        <v>46153.268518518518</v>
      </c>
      <c r="F19" s="12">
        <v>46153.268518518518</v>
      </c>
      <c r="G19" s="5"/>
    </row>
    <row r="20" spans="1:7">
      <c r="A20" s="6">
        <v>18</v>
      </c>
      <c r="B20" s="6"/>
      <c r="C20" s="6">
        <v>70</v>
      </c>
      <c r="D20" s="6">
        <f t="shared" si="1"/>
        <v>2180</v>
      </c>
      <c r="E20" s="9">
        <v>46153.268622685187</v>
      </c>
      <c r="F20" s="13">
        <v>46153.268622685187</v>
      </c>
      <c r="G20" s="6"/>
    </row>
    <row r="21" spans="1:7">
      <c r="A21" s="5">
        <v>19</v>
      </c>
      <c r="B21" s="5"/>
      <c r="C21" s="5">
        <v>70</v>
      </c>
      <c r="D21" s="5">
        <f t="shared" si="1"/>
        <v>2110</v>
      </c>
      <c r="E21" s="7">
        <v>46153.26866898148</v>
      </c>
      <c r="F21" s="12">
        <v>46153.26866898148</v>
      </c>
      <c r="G21" s="5"/>
    </row>
    <row r="22" spans="1:7">
      <c r="A22" s="6">
        <v>20</v>
      </c>
      <c r="B22" s="6"/>
      <c r="C22" s="6">
        <v>70</v>
      </c>
      <c r="D22" s="6">
        <f t="shared" si="1"/>
        <v>2040</v>
      </c>
      <c r="E22" s="9">
        <v>46153.268738425926</v>
      </c>
      <c r="F22" s="13">
        <v>46153.268738425926</v>
      </c>
      <c r="G22" s="6"/>
    </row>
    <row r="23" spans="1:7">
      <c r="A23" s="5">
        <v>21</v>
      </c>
      <c r="B23" s="5"/>
      <c r="C23" s="5">
        <v>200</v>
      </c>
      <c r="D23" s="5">
        <f t="shared" si="1"/>
        <v>1840</v>
      </c>
      <c r="E23" s="7">
        <v>46153.269212962965</v>
      </c>
      <c r="F23" s="12">
        <v>46153.269212962965</v>
      </c>
      <c r="G23" s="5"/>
    </row>
    <row r="24" spans="1:7">
      <c r="A24" s="6">
        <v>22</v>
      </c>
      <c r="B24" s="6"/>
      <c r="C24" s="6">
        <v>200</v>
      </c>
      <c r="D24" s="6">
        <f t="shared" si="1"/>
        <v>1640</v>
      </c>
      <c r="E24" s="9">
        <v>46153.269224537034</v>
      </c>
      <c r="F24" s="13">
        <v>46153.269224537034</v>
      </c>
      <c r="G24" s="6"/>
    </row>
    <row r="25" spans="1:7">
      <c r="A25" s="5">
        <v>23</v>
      </c>
      <c r="B25" s="5"/>
      <c r="C25" s="5">
        <v>200</v>
      </c>
      <c r="D25" s="5">
        <f t="shared" si="1"/>
        <v>1440</v>
      </c>
      <c r="E25" s="7">
        <v>46153.269236111111</v>
      </c>
      <c r="F25" s="12">
        <v>46153.269236111111</v>
      </c>
      <c r="G25" s="5"/>
    </row>
    <row r="26" spans="1:7">
      <c r="A26" s="6">
        <v>24</v>
      </c>
      <c r="B26" s="6"/>
      <c r="C26" s="6">
        <v>200</v>
      </c>
      <c r="D26" s="6">
        <f t="shared" si="1"/>
        <v>1240</v>
      </c>
      <c r="E26" s="9">
        <v>46153.269247685188</v>
      </c>
      <c r="F26" s="13">
        <v>46153.269247685188</v>
      </c>
      <c r="G26" s="6"/>
    </row>
    <row r="27" spans="1:7">
      <c r="A27" s="5">
        <v>25</v>
      </c>
      <c r="B27" s="5"/>
      <c r="C27" s="5">
        <v>200</v>
      </c>
      <c r="D27" s="5">
        <f t="shared" si="1"/>
        <v>1040</v>
      </c>
      <c r="E27" s="7">
        <v>46153.269247685188</v>
      </c>
      <c r="F27" s="12">
        <v>46153.269247685188</v>
      </c>
      <c r="G27" s="5"/>
    </row>
    <row r="28" spans="1:7">
      <c r="A28" s="6">
        <v>26</v>
      </c>
      <c r="B28" s="6"/>
      <c r="C28" s="6">
        <v>200</v>
      </c>
      <c r="D28" s="6">
        <f t="shared" si="1"/>
        <v>840</v>
      </c>
      <c r="E28" s="9">
        <v>46153.269259259258</v>
      </c>
      <c r="F28" s="13">
        <v>46153.269259259258</v>
      </c>
      <c r="G28" s="6"/>
    </row>
    <row r="29" spans="1:7">
      <c r="A29" s="5">
        <v>27</v>
      </c>
      <c r="B29" s="5"/>
      <c r="C29" s="5">
        <v>200</v>
      </c>
      <c r="D29" s="5">
        <f t="shared" si="1"/>
        <v>640</v>
      </c>
      <c r="E29" s="7">
        <v>46153.269270833334</v>
      </c>
      <c r="F29" s="12">
        <v>46153.269270833334</v>
      </c>
      <c r="G29" s="5"/>
    </row>
    <row r="30" spans="1:7">
      <c r="A30" s="6">
        <v>28</v>
      </c>
      <c r="B30" s="6"/>
      <c r="C30" s="6">
        <v>200</v>
      </c>
      <c r="D30" s="6">
        <f t="shared" si="1"/>
        <v>440</v>
      </c>
      <c r="E30" s="9">
        <v>46153.269282407404</v>
      </c>
      <c r="F30" s="13">
        <v>46153.269282407404</v>
      </c>
      <c r="G30" s="6"/>
    </row>
    <row r="31" spans="1:7">
      <c r="A31" s="5">
        <v>29</v>
      </c>
      <c r="B31" s="5"/>
      <c r="C31" s="5">
        <v>200</v>
      </c>
      <c r="D31" s="5">
        <f t="shared" si="1"/>
        <v>240</v>
      </c>
      <c r="E31" s="7">
        <v>46153.269317129627</v>
      </c>
      <c r="F31" s="12">
        <v>46153.269317129627</v>
      </c>
      <c r="G31" s="5"/>
    </row>
    <row r="32" spans="1:7">
      <c r="A32" s="6">
        <v>30</v>
      </c>
      <c r="B32" s="6"/>
      <c r="C32" s="6">
        <v>70</v>
      </c>
      <c r="D32" s="6">
        <f t="shared" si="1"/>
        <v>170</v>
      </c>
      <c r="E32" s="9">
        <v>46153.26934027778</v>
      </c>
      <c r="F32" s="13">
        <v>46153.26934027778</v>
      </c>
      <c r="G32" s="6"/>
    </row>
    <row r="33" spans="1:7">
      <c r="A33" s="5">
        <v>31</v>
      </c>
      <c r="B33" s="5"/>
      <c r="C33" s="5">
        <v>70</v>
      </c>
      <c r="D33" s="5">
        <f t="shared" si="1"/>
        <v>100</v>
      </c>
      <c r="E33" s="7">
        <v>46153.26971064815</v>
      </c>
      <c r="F33" s="12">
        <v>46153.26971064815</v>
      </c>
      <c r="G33" s="5"/>
    </row>
    <row r="34" spans="1:7">
      <c r="A34" s="6">
        <v>32</v>
      </c>
      <c r="B34" s="6">
        <v>2500</v>
      </c>
      <c r="C34" s="6"/>
      <c r="D34" s="6">
        <f t="shared" si="1"/>
        <v>2600</v>
      </c>
      <c r="E34" s="9">
        <v>46153.269745370373</v>
      </c>
      <c r="F34" s="13">
        <v>46153.269745370373</v>
      </c>
      <c r="G34" s="6"/>
    </row>
    <row r="35" spans="1:7">
      <c r="A35" s="5">
        <v>33</v>
      </c>
      <c r="B35" s="5"/>
      <c r="C35" s="5">
        <v>100</v>
      </c>
      <c r="D35" s="5">
        <f t="shared" si="1"/>
        <v>2500</v>
      </c>
      <c r="E35" s="7">
        <v>46153.27003472222</v>
      </c>
      <c r="F35" s="12">
        <v>46153.27003472222</v>
      </c>
      <c r="G35" s="5"/>
    </row>
    <row r="36" spans="1:7">
      <c r="A36" s="6"/>
      <c r="B36" s="6"/>
      <c r="C36" s="6"/>
      <c r="D36" s="6">
        <f t="shared" si="1"/>
        <v>2500</v>
      </c>
      <c r="E36" s="9"/>
      <c r="F36" s="13"/>
      <c r="G36" s="6"/>
    </row>
    <row r="37" spans="1:7">
      <c r="A37" s="5"/>
      <c r="B37" s="5"/>
      <c r="C37" s="5"/>
      <c r="D37" s="5">
        <f t="shared" si="1"/>
        <v>2500</v>
      </c>
      <c r="E37" s="7"/>
      <c r="F37" s="12"/>
      <c r="G37" s="5"/>
    </row>
    <row r="38" spans="1:7">
      <c r="A38" s="6"/>
      <c r="B38" s="6"/>
      <c r="C38" s="6"/>
      <c r="D38" s="6">
        <f t="shared" si="1"/>
        <v>2500</v>
      </c>
      <c r="E38" s="9"/>
      <c r="F38" s="13"/>
      <c r="G38" s="6"/>
    </row>
    <row r="39" spans="1:7">
      <c r="A39" s="5"/>
      <c r="B39" s="5"/>
      <c r="C39" s="5"/>
      <c r="D39" s="5">
        <f t="shared" si="1"/>
        <v>2500</v>
      </c>
      <c r="E39" s="7"/>
      <c r="F39" s="12"/>
      <c r="G39" s="5"/>
    </row>
    <row r="40" spans="1:7">
      <c r="A40" s="6"/>
      <c r="B40" s="6"/>
      <c r="C40" s="6"/>
      <c r="D40" s="6">
        <f t="shared" si="1"/>
        <v>2500</v>
      </c>
      <c r="E40" s="9"/>
      <c r="F40" s="13"/>
      <c r="G40" s="6"/>
    </row>
    <row r="41" spans="1:7">
      <c r="A41" s="5"/>
      <c r="B41" s="5"/>
      <c r="C41" s="5"/>
      <c r="D41" s="5">
        <f t="shared" si="1"/>
        <v>2500</v>
      </c>
      <c r="E41" s="7"/>
      <c r="F41" s="12"/>
      <c r="G41" s="5"/>
    </row>
    <row r="42" spans="1:7">
      <c r="A42" s="6"/>
      <c r="B42" s="6"/>
      <c r="C42" s="6"/>
      <c r="D42" s="6">
        <f t="shared" si="1"/>
        <v>2500</v>
      </c>
      <c r="E42" s="9"/>
      <c r="F42" s="13"/>
      <c r="G42" s="6"/>
    </row>
    <row r="43" spans="1:7">
      <c r="A43" s="5"/>
      <c r="B43" s="5"/>
      <c r="C43" s="5"/>
      <c r="D43" s="5">
        <f t="shared" si="1"/>
        <v>2500</v>
      </c>
      <c r="E43" s="7"/>
      <c r="F43" s="12"/>
      <c r="G43" s="5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851CF-ECA6-436D-9849-17F7F633957A}">
  <dimension ref="A1:E18"/>
  <sheetViews>
    <sheetView zoomScale="85" zoomScaleNormal="85" workbookViewId="0">
      <selection activeCell="H13" sqref="H13"/>
    </sheetView>
  </sheetViews>
  <sheetFormatPr defaultRowHeight="22.2"/>
  <cols>
    <col min="1" max="1" width="7.8984375" style="17" bestFit="1" customWidth="1"/>
    <col min="2" max="2" width="8.69921875" style="17" bestFit="1" customWidth="1"/>
    <col min="3" max="3" width="8.8984375" style="17" bestFit="1" customWidth="1"/>
    <col min="4" max="4" width="3.796875" style="17" bestFit="1" customWidth="1"/>
    <col min="5" max="5" width="15.59765625" style="17" customWidth="1"/>
    <col min="6" max="6" width="8.796875" style="17" customWidth="1"/>
    <col min="7" max="7" width="12.59765625" style="17" customWidth="1"/>
    <col min="8" max="16384" width="8.796875" style="17"/>
  </cols>
  <sheetData>
    <row r="1" spans="1:5" ht="22.8" customHeight="1">
      <c r="A1" s="37" t="s">
        <v>57</v>
      </c>
      <c r="B1" s="38"/>
      <c r="C1" s="38"/>
      <c r="D1" s="38"/>
      <c r="E1" s="39"/>
    </row>
    <row r="2" spans="1:5" ht="22.8" customHeight="1">
      <c r="A2" s="42" t="s">
        <v>71</v>
      </c>
      <c r="B2" s="44"/>
      <c r="C2" s="40">
        <v>0.39027777777777778</v>
      </c>
      <c r="D2" s="41"/>
      <c r="E2" s="15" t="s">
        <v>58</v>
      </c>
    </row>
    <row r="3" spans="1:5" ht="22.8" customHeight="1">
      <c r="A3" s="54" t="s">
        <v>59</v>
      </c>
      <c r="B3" s="55"/>
      <c r="C3" s="55"/>
      <c r="D3" s="55"/>
      <c r="E3" s="56"/>
    </row>
    <row r="4" spans="1:5" ht="22.8" customHeight="1">
      <c r="A4" s="59" t="s">
        <v>61</v>
      </c>
      <c r="B4" s="57"/>
      <c r="C4" s="57" t="s">
        <v>60</v>
      </c>
      <c r="D4" s="57"/>
      <c r="E4" s="58"/>
    </row>
    <row r="5" spans="1:5" ht="22.8" customHeight="1">
      <c r="A5" s="60" t="s">
        <v>62</v>
      </c>
      <c r="B5" s="61"/>
      <c r="C5" s="61"/>
      <c r="D5" s="61"/>
      <c r="E5" s="62"/>
    </row>
    <row r="6" spans="1:5" ht="22.8" customHeight="1">
      <c r="A6" s="59" t="s">
        <v>63</v>
      </c>
      <c r="B6" s="57"/>
      <c r="C6" s="57"/>
      <c r="D6" s="57"/>
      <c r="E6" s="58"/>
    </row>
    <row r="7" spans="1:5" ht="15" customHeight="1">
      <c r="A7" s="18"/>
      <c r="B7" s="18"/>
      <c r="C7" s="18"/>
      <c r="D7" s="18"/>
      <c r="E7" s="18"/>
    </row>
    <row r="8" spans="1:5" ht="22.8" customHeight="1">
      <c r="A8" s="15" t="s">
        <v>68</v>
      </c>
      <c r="B8" s="15" t="s">
        <v>67</v>
      </c>
      <c r="C8" s="15" t="s">
        <v>66</v>
      </c>
      <c r="D8" s="15" t="s">
        <v>65</v>
      </c>
      <c r="E8" s="15" t="s">
        <v>64</v>
      </c>
    </row>
    <row r="9" spans="1:5" ht="22.8" customHeight="1">
      <c r="A9" s="15">
        <v>2500000</v>
      </c>
      <c r="B9" s="15">
        <v>2500000</v>
      </c>
      <c r="C9" s="15">
        <v>2500000</v>
      </c>
      <c r="D9" s="15">
        <v>1</v>
      </c>
      <c r="E9" s="15" t="s">
        <v>69</v>
      </c>
    </row>
    <row r="10" spans="1:5" ht="34.200000000000003" customHeight="1">
      <c r="A10" s="15">
        <v>1000000</v>
      </c>
      <c r="B10" s="15">
        <v>1000000</v>
      </c>
      <c r="C10" s="15">
        <v>1000000</v>
      </c>
      <c r="D10" s="15">
        <v>1</v>
      </c>
      <c r="E10" s="16" t="s">
        <v>70</v>
      </c>
    </row>
    <row r="11" spans="1:5" ht="22.8" customHeight="1">
      <c r="A11" s="42" t="s">
        <v>72</v>
      </c>
      <c r="B11" s="43"/>
      <c r="C11" s="43"/>
      <c r="D11" s="43"/>
      <c r="E11" s="44"/>
    </row>
    <row r="12" spans="1:5" ht="22.8" customHeight="1">
      <c r="A12" s="46">
        <v>3500000</v>
      </c>
      <c r="B12" s="47"/>
      <c r="C12" s="47"/>
      <c r="D12" s="47" t="s">
        <v>74</v>
      </c>
      <c r="E12" s="48"/>
    </row>
    <row r="13" spans="1:5" ht="22.8" customHeight="1">
      <c r="A13" s="51">
        <v>0</v>
      </c>
      <c r="B13" s="49"/>
      <c r="C13" s="49"/>
      <c r="D13" s="49" t="s">
        <v>73</v>
      </c>
      <c r="E13" s="50"/>
    </row>
    <row r="14" spans="1:5" ht="22.8" customHeight="1">
      <c r="A14" s="20" t="s">
        <v>76</v>
      </c>
      <c r="B14" s="52">
        <v>3500000</v>
      </c>
      <c r="C14" s="52"/>
      <c r="D14" s="52" t="s">
        <v>75</v>
      </c>
      <c r="E14" s="52"/>
    </row>
    <row r="15" spans="1:5" ht="22.8" customHeight="1">
      <c r="A15" s="42" t="s">
        <v>77</v>
      </c>
      <c r="B15" s="43"/>
      <c r="C15" s="43"/>
      <c r="D15" s="43"/>
      <c r="E15" s="44"/>
    </row>
    <row r="16" spans="1:5" ht="22.8" customHeight="1">
      <c r="A16" s="45" t="s">
        <v>79</v>
      </c>
      <c r="B16" s="45"/>
      <c r="C16" s="45"/>
      <c r="D16" s="45"/>
      <c r="E16" s="18" t="s">
        <v>78</v>
      </c>
    </row>
    <row r="17" spans="1:5" ht="16.2" customHeight="1">
      <c r="A17" s="18"/>
      <c r="B17" s="18"/>
      <c r="C17" s="18"/>
      <c r="D17" s="18"/>
      <c r="E17" s="18"/>
    </row>
    <row r="18" spans="1:5" ht="22.8" customHeight="1">
      <c r="A18" s="53" t="s">
        <v>80</v>
      </c>
      <c r="B18" s="53"/>
      <c r="C18" s="53"/>
      <c r="D18" s="53"/>
      <c r="E18" s="53"/>
    </row>
  </sheetData>
  <mergeCells count="18">
    <mergeCell ref="A18:E18"/>
    <mergeCell ref="A2:B2"/>
    <mergeCell ref="A3:E3"/>
    <mergeCell ref="C4:E4"/>
    <mergeCell ref="A4:B4"/>
    <mergeCell ref="A6:E6"/>
    <mergeCell ref="A5:E5"/>
    <mergeCell ref="A1:E1"/>
    <mergeCell ref="C2:D2"/>
    <mergeCell ref="A11:E11"/>
    <mergeCell ref="A15:E15"/>
    <mergeCell ref="A16:D16"/>
    <mergeCell ref="A12:C12"/>
    <mergeCell ref="D12:E12"/>
    <mergeCell ref="D13:E13"/>
    <mergeCell ref="A13:C13"/>
    <mergeCell ref="B14:C14"/>
    <mergeCell ref="D14:E14"/>
  </mergeCells>
  <pageMargins left="0" right="0" top="0" bottom="0" header="0" footer="0"/>
  <pageSetup paperSize="1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Amiri</dc:creator>
  <cp:lastModifiedBy>Amiri</cp:lastModifiedBy>
  <cp:lastPrinted>2026-05-12T01:55:02Z</cp:lastPrinted>
  <dcterms:created xsi:type="dcterms:W3CDTF">2026-04-27T06:38:46Z</dcterms:created>
  <dcterms:modified xsi:type="dcterms:W3CDTF">2026-05-28T15:23:56Z</dcterms:modified>
</cp:coreProperties>
</file>